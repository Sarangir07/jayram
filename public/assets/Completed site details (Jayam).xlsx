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da\Desktop\"/>
    </mc:Choice>
  </mc:AlternateContent>
  <xr:revisionPtr revIDLastSave="0" documentId="13_ncr:1_{AF4AA216-A25F-4270-A06B-8A6E6B5EC094}" xr6:coauthVersionLast="47" xr6:coauthVersionMax="47" xr10:uidLastSave="{00000000-0000-0000-0000-000000000000}"/>
  <bookViews>
    <workbookView xWindow="-104" yWindow="-104" windowWidth="22326" windowHeight="11947" xr2:uid="{CC3987AC-C848-4F6B-BAB9-16A8DD6148B2}"/>
  </bookViews>
  <sheets>
    <sheet name="MEP" sheetId="3" r:id="rId1"/>
    <sheet name="Sheet1" sheetId="5" r:id="rId2"/>
    <sheet name="Landscaping 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3" l="1"/>
  <c r="C11" i="3"/>
  <c r="C53" i="3"/>
  <c r="C33" i="3"/>
  <c r="C6" i="3"/>
  <c r="C2" i="3"/>
  <c r="C69" i="3"/>
  <c r="C68" i="3"/>
  <c r="C67" i="3"/>
  <c r="C66" i="3"/>
  <c r="C65" i="3"/>
  <c r="C64" i="3"/>
  <c r="C63" i="3"/>
  <c r="C62" i="3"/>
  <c r="C61" i="3"/>
  <c r="C60" i="3"/>
  <c r="C58" i="3"/>
  <c r="C57" i="3"/>
  <c r="C56" i="3"/>
  <c r="C55" i="3"/>
  <c r="C54" i="3"/>
  <c r="C52" i="3"/>
  <c r="C51" i="3"/>
  <c r="C48" i="3"/>
  <c r="C49" i="3"/>
  <c r="C50" i="3"/>
  <c r="C59" i="3"/>
  <c r="C47" i="3"/>
  <c r="C46" i="3"/>
  <c r="C42" i="3"/>
  <c r="C43" i="3"/>
  <c r="C44" i="3"/>
  <c r="C45" i="3"/>
  <c r="C41" i="3"/>
  <c r="C40" i="3"/>
  <c r="C39" i="3"/>
  <c r="C38" i="3"/>
  <c r="C37" i="3"/>
  <c r="C36" i="3"/>
  <c r="C31" i="3"/>
  <c r="C27" i="3"/>
  <c r="C17" i="3"/>
  <c r="C13" i="3"/>
  <c r="C23" i="3"/>
  <c r="C5" i="3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2" i="4"/>
  <c r="C26" i="3"/>
  <c r="C35" i="3"/>
  <c r="C34" i="3"/>
  <c r="C32" i="3"/>
  <c r="C24" i="3"/>
  <c r="C25" i="3"/>
  <c r="C28" i="3"/>
  <c r="C29" i="3"/>
  <c r="C30" i="3"/>
  <c r="C22" i="3"/>
  <c r="C21" i="3"/>
  <c r="C19" i="3"/>
  <c r="C18" i="3"/>
  <c r="C16" i="3"/>
  <c r="C15" i="3"/>
  <c r="C14" i="3"/>
  <c r="C12" i="3"/>
  <c r="C10" i="3"/>
  <c r="C9" i="3"/>
  <c r="C8" i="3"/>
  <c r="C7" i="3"/>
  <c r="C3" i="3"/>
</calcChain>
</file>

<file path=xl/sharedStrings.xml><?xml version="1.0" encoding="utf-8"?>
<sst xmlns="http://schemas.openxmlformats.org/spreadsheetml/2006/main" count="225" uniqueCount="106">
  <si>
    <t>PrivateVilla 131 Al JurainaSharjah</t>
  </si>
  <si>
    <t>Landscape &amp; Swimming Pool maintenance</t>
  </si>
  <si>
    <t>Private Villa 334 Rahmania, Sharjah</t>
  </si>
  <si>
    <t>Landscape &amp; Fountain maintenance</t>
  </si>
  <si>
    <t>Private Villa 1582 Rahmania, Sharjah</t>
  </si>
  <si>
    <t>Private Villa 6 Rahmania, Sharjah</t>
  </si>
  <si>
    <t>Soft Landscape &amp; Fountain maintenance</t>
  </si>
  <si>
    <t>Private Villa 10 Sharqan, Sharjah</t>
  </si>
  <si>
    <t>Soft Landscape &amp; Swimming pool maintenance</t>
  </si>
  <si>
    <t>Private Villa 218 Al Muteena, Dubai</t>
  </si>
  <si>
    <t>Soft Landscape &amp; Maintenance</t>
  </si>
  <si>
    <t>MEP Fitout</t>
  </si>
  <si>
    <t>Botanica, Jumeirah Golf Estate</t>
  </si>
  <si>
    <t>Villa L29, Emirates Hills</t>
  </si>
  <si>
    <t>Bussola, Jumeirah Golf Estate</t>
  </si>
  <si>
    <t>79 Villa, DAMAC Hills</t>
  </si>
  <si>
    <t>Plumbing Work (32 villas)</t>
  </si>
  <si>
    <t xml:space="preserve">Sparkle Tower, Marina, Jumeirah </t>
  </si>
  <si>
    <t>Chilled Water Work</t>
  </si>
  <si>
    <t>MuteenaVilla, Dubai</t>
  </si>
  <si>
    <t>Plumbing Work</t>
  </si>
  <si>
    <t>Grand Belle Vue, Barsha Heights</t>
  </si>
  <si>
    <t>Yogurt berry, Sport Soceity</t>
  </si>
  <si>
    <t xml:space="preserve">Kai Enzo restaurant, Hyatt Centric </t>
  </si>
  <si>
    <t>Fair way, Al Garhoud</t>
  </si>
  <si>
    <t>SITE</t>
  </si>
  <si>
    <t>WORK</t>
  </si>
  <si>
    <t>Crafty Fox, Jumeirah Golf Estate &amp;Yas links, Abu Dhabi</t>
  </si>
  <si>
    <t>H.H SHEIKH AMMAR BIN HUMAID AL NUAIMI (Al Guram Palace)</t>
  </si>
  <si>
    <t>SITE2</t>
  </si>
  <si>
    <t>Indoor Plants</t>
  </si>
  <si>
    <t>LINE INVESTMENT PROPERTIES (SHARJAH CENTRAL)</t>
  </si>
  <si>
    <t>reviera tower (sharjah)</t>
  </si>
  <si>
    <t>Indoor Plant maintenance</t>
  </si>
  <si>
    <t>S.No</t>
  </si>
  <si>
    <t>Crafty Fox,Yas links, Abu Dhabi</t>
  </si>
  <si>
    <t xml:space="preserve">Tiger jox, Grand HYATT, Dubai </t>
  </si>
  <si>
    <t xml:space="preserve">Drift Beach club, One &amp; Only Royal Mirage </t>
  </si>
  <si>
    <t xml:space="preserve">Laa brochie resturant, City Land Mall </t>
  </si>
  <si>
    <t xml:space="preserve">Main Kitchen Renovation, Westin Mina siyahe </t>
  </si>
  <si>
    <t>Cold Kitchen Renovation, Westin mina Siyahe</t>
  </si>
  <si>
    <t>Main Kitchen Renovation, Lemeridian mina siyahe</t>
  </si>
  <si>
    <t>Kurasu Restaurant, Dar al Wasl Mall</t>
  </si>
  <si>
    <t xml:space="preserve">Flat 401, AL Haseer 7, Palm Jumeirah  </t>
  </si>
  <si>
    <t>Plumbing work</t>
  </si>
  <si>
    <r>
      <t>(Shura Island hotel 3 east Dune Camp) Dupod,Dubai I</t>
    </r>
    <r>
      <rPr>
        <i/>
        <sz val="12"/>
        <color theme="1"/>
        <rFont val="Trebuchet MS"/>
        <family val="2"/>
      </rPr>
      <t>ndustrial City</t>
    </r>
  </si>
  <si>
    <t>SITES</t>
  </si>
  <si>
    <t>Reviera tower (sharjah)</t>
  </si>
  <si>
    <t xml:space="preserve">Chinese Restaurant, Grand belle Vue, barsha Heights </t>
  </si>
  <si>
    <t>AL Khaleej Sugar Refinery, Jafza</t>
  </si>
  <si>
    <t>Plumbing Maintenance Work</t>
  </si>
  <si>
    <t>Al Khaleej Sugar Camp, Jebal Ali</t>
  </si>
  <si>
    <t>Plumbing Maintenance Work (1st floor Washroom 4 units)</t>
  </si>
  <si>
    <t>Plumbing Maintenance Work (2nd floor Washroom 4 units)</t>
  </si>
  <si>
    <t>Plumbing Maintenance Work (1st floor Washroom 1 units)</t>
  </si>
  <si>
    <t>Plumbing Maintenance Work (4th floor Washroom 4 units)</t>
  </si>
  <si>
    <t>Plumbing Maintenance Work (3rd floor Washroom 4 units)</t>
  </si>
  <si>
    <t>Drainage replacement work (3rd &amp; 4th floor 8 units) washroom</t>
  </si>
  <si>
    <t>Waterproofing work 3rd &amp; 4th floor 8 units washroom</t>
  </si>
  <si>
    <t xml:space="preserve">Fire Pump room Electrical works like tray, cabling, glanding &amp; Termination </t>
  </si>
  <si>
    <t xml:space="preserve">NAFFCO (AL FURJAN) </t>
  </si>
  <si>
    <t xml:space="preserve">NAFFCO (AL Jubail, sharjah) </t>
  </si>
  <si>
    <t>NAFFCO (AL Jada, sharjah) 2 sites</t>
  </si>
  <si>
    <t>NAFFCO (AL SATWA 1) 2 Sites</t>
  </si>
  <si>
    <t>NAFFCO (Jumeirah village circle)</t>
  </si>
  <si>
    <t>NAFFCO (AL QUDRA ROAD)</t>
  </si>
  <si>
    <t>G+7 RESIDENTIAL BUILDING AJMAN</t>
  </si>
  <si>
    <t>Plumbing work Repalcement of all the existing pipe Water supply &amp; Drainage line</t>
  </si>
  <si>
    <t xml:space="preserve">NAFFCO (AL SATWA 1) </t>
  </si>
  <si>
    <t>AMALIA RESIDENTIAL TOWER, PLOT # 024</t>
  </si>
  <si>
    <t>B+G+7+R STOREY COMMERCIAL &amp; RESIDENTIAL
BUILDING, PLOT NO.K006</t>
  </si>
  <si>
    <t xml:space="preserve">NAFFCO (AL Jada, sharjah) </t>
  </si>
  <si>
    <t>RISE RESIDENSES G+4P+1I+R@JVC16BMRM002,JVC</t>
  </si>
  <si>
    <t>B+G+6+R STOREY COMMERCIAL &amp; RESIDENTIAL
BUILDING, PLOT NO.K003</t>
  </si>
  <si>
    <t>MIRA DUBAI BRITISH SCHOOL, PLOT NO - 921 6993</t>
  </si>
  <si>
    <t>NAFFCO (AL QUDRA ROAD, AL YALAYIS)</t>
  </si>
  <si>
    <t>G+2P+8+HC, PLOT NO: 334-7221</t>
  </si>
  <si>
    <t>Multi user warehouse Plot no FB95 &amp; FB 96, Dubai South</t>
  </si>
  <si>
    <t>NAFFCO (Dubai South)</t>
  </si>
  <si>
    <t>B+G+7+R STOREY COMMERCIAL &amp; RESIDENTIAL
BUILDING, PLOT NO. K003</t>
  </si>
  <si>
    <t>G+2P+8+HC, PLOT NO: 334-7222, AL SATWA, DUBAI</t>
  </si>
  <si>
    <t xml:space="preserve">API PACKING INDUSTRIES (AL KHABAISI, DEIRA) </t>
  </si>
  <si>
    <t>AZURE LOUNGE (JUMEIRAH)</t>
  </si>
  <si>
    <t>KURASU Restaurant, DFC Mall</t>
  </si>
  <si>
    <t>G+4+R, AL KHALEEJ CAMP, JEBAL ALI</t>
  </si>
  <si>
    <t>PAINTING WORK</t>
  </si>
  <si>
    <t>JUMEIRAH GOLF ESTATE (WASHROOM0</t>
  </si>
  <si>
    <t xml:space="preserve">FIVE IRON GOLF, WESTIN MARINA </t>
  </si>
  <si>
    <t>3 BHK APARTMENT, CITY WALK</t>
  </si>
  <si>
    <t xml:space="preserve">ONTARIO TOWER OFFICE RENOVATION, BUSINESS BAY </t>
  </si>
  <si>
    <t>DIRTI BIRTI BAR, WESTIN MARINA</t>
  </si>
  <si>
    <t>FIVE IRON GOLF, DAMAC PARAMOUNT, BUSINESS BAY</t>
  </si>
  <si>
    <t>KURASU, SADIYAT GROVE MALL</t>
  </si>
  <si>
    <t xml:space="preserve">KURASU, DIFC </t>
  </si>
  <si>
    <t xml:space="preserve">HUDSON &amp; RAY RESTAURANT, DIFC </t>
  </si>
  <si>
    <t>FIVE IRON GOLF, YAS BAY MALL</t>
  </si>
  <si>
    <t>GAMING SIMULATORS WORKS (12NOS)</t>
  </si>
  <si>
    <t>GAMING SIMULATORS WORKS (5 NOS)</t>
  </si>
  <si>
    <t>AL KHALEEJ CAMP, JEBAL ALI</t>
  </si>
  <si>
    <t xml:space="preserve">GREASE TRAP WORK </t>
  </si>
  <si>
    <t xml:space="preserve">ROWLEYS RESTAURANT, YAS BAY </t>
  </si>
  <si>
    <t xml:space="preserve">BOTA CAFÉ, JUMEIRAH GOLF ESTATE </t>
  </si>
  <si>
    <t xml:space="preserve">CLUB JUMANA, JEBAL ALI </t>
  </si>
  <si>
    <t>GAMING SIMULATORS WORKS (2NOS)</t>
  </si>
  <si>
    <t>FIVE IRON GOLF, YAS BAY MALL G+1</t>
  </si>
  <si>
    <t>MEP Fitout (OUTDOOR TERRACE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</si>
</sst>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2"/>
      <color theme="1"/>
      <name val="Trebuchet MS"/>
      <family val="2"/>
    </font>
    <font>
      <sz val="18"/>
      <color theme="1"/>
      <name val="Trebuchet MS"/>
      <family val="2"/>
    </font>
    <font>
      <b/>
      <sz val="12"/>
      <color rgb="FF000000"/>
      <name val="Trebuchet MS"/>
      <family val="2"/>
    </font>
    <font>
      <i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5" xfId="0" applyBorder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1" xfId="0" applyNumberFormat="1" applyFont="1" applyBorder="1" applyAlignment="1">
      <alignment vertical="center" wrapText="1"/>
    </xf>
    <xf numFmtId="0" fontId="2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AB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75075-8629-452E-828F-AC3A248BAB58}" name="Table2" displayName="Table2" ref="A1:D69" totalsRowShown="0" headerRowDxfId="17" dataDxfId="16">
  <tableColumns count="4">
    <tableColumn id="1" xr3:uid="{7D052F18-BFFF-4521-948F-68DEB43B57EF}" name="SITE" dataDxfId="15"/>
    <tableColumn id="5" xr3:uid="{A1024399-9311-4BB2-86CC-F4C9347B402A}" name="S.No" dataDxfId="14"/>
    <tableColumn id="4" xr3:uid="{046B79EE-9978-453A-824F-390C46B1E96E}" name="SITES" dataDxfId="13">
      <calculatedColumnFormula>UPPER(Table2[[#This Row],[SITE]])</calculatedColumnFormula>
    </tableColumn>
    <tableColumn id="2" xr3:uid="{6F5EEB64-272F-41AB-A56B-FEDB29C5DA3A}" name="WORK" dataDxfId="1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9D954F-EC76-4E35-AAEE-07C83011A3D5}" name="Table24" displayName="Table24" ref="A1:D10" totalsRowShown="0" headerRowDxfId="11" dataDxfId="10">
  <tableColumns count="4">
    <tableColumn id="1" xr3:uid="{8DD95CB8-5357-49EE-AAEE-B8A4D0365972}" name="SITE" dataDxfId="9"/>
    <tableColumn id="5" xr3:uid="{7B41119A-930D-419D-B647-89537BD6DE51}" name="S.No" dataDxfId="8"/>
    <tableColumn id="4" xr3:uid="{186CCCE6-9767-45E6-A112-B30B51ED43CD}" name="SITES" dataDxfId="7">
      <calculatedColumnFormula>UPPER(Table24[[#This Row],[SITE]])</calculatedColumnFormula>
    </tableColumn>
    <tableColumn id="2" xr3:uid="{17E8B551-1B66-446F-872F-30E6732DE409}" name="WORK" dataDxfId="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45466-9AD8-4E72-9A82-7FF300338F73}" name="Table22" displayName="Table22" ref="A1:D31" totalsRowShown="0" headerRowDxfId="5" dataDxfId="4">
  <tableColumns count="4">
    <tableColumn id="1" xr3:uid="{CABF5A1A-3332-4071-96AA-F01B9F17FC92}" name="SITE" dataDxfId="3"/>
    <tableColumn id="5" xr3:uid="{3C906247-89AD-4FC5-AFAD-61A7D523183A}" name="S.No" dataDxfId="2"/>
    <tableColumn id="4" xr3:uid="{F7EBF33E-C335-47D5-ADE5-5C58C7F25239}" name="SITE2" dataDxfId="1">
      <calculatedColumnFormula>UPPER(Table22[[#This Row],[SITE]])</calculatedColumnFormula>
    </tableColumn>
    <tableColumn id="2" xr3:uid="{843361F7-CE01-4641-99EC-DC75DF81DA91}" name="WORK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21C1-44C6-4B3B-A490-0B13F259C4F0}">
  <dimension ref="A1:I69"/>
  <sheetViews>
    <sheetView tabSelected="1" workbookViewId="0">
      <selection activeCell="G68" sqref="G68"/>
    </sheetView>
  </sheetViews>
  <sheetFormatPr defaultRowHeight="27.65" customHeight="1" x14ac:dyDescent="0.3"/>
  <cols>
    <col min="1" max="1" width="45.09765625" customWidth="1"/>
    <col min="2" max="2" width="7.8984375" style="18" bestFit="1" customWidth="1"/>
    <col min="3" max="3" width="47.796875" customWidth="1"/>
    <col min="4" max="4" width="36.69921875" bestFit="1" customWidth="1"/>
  </cols>
  <sheetData>
    <row r="1" spans="1:9" ht="27.65" customHeight="1" x14ac:dyDescent="0.3">
      <c r="A1" s="5" t="s">
        <v>25</v>
      </c>
      <c r="B1" s="8" t="s">
        <v>34</v>
      </c>
      <c r="C1" s="8" t="s">
        <v>46</v>
      </c>
      <c r="D1" s="4" t="s">
        <v>26</v>
      </c>
    </row>
    <row r="2" spans="1:9" ht="27.65" customHeight="1" x14ac:dyDescent="0.3">
      <c r="A2" s="1">
        <v>2024</v>
      </c>
      <c r="B2" s="20"/>
      <c r="C2" s="21" t="str">
        <f>UPPER(Table2[[#This Row],[SITE]])</f>
        <v>2024</v>
      </c>
      <c r="D2" s="22"/>
    </row>
    <row r="3" spans="1:9" ht="31.7" customHeight="1" x14ac:dyDescent="0.3">
      <c r="A3" s="1" t="s">
        <v>28</v>
      </c>
      <c r="B3" s="17">
        <v>1</v>
      </c>
      <c r="C3" s="9" t="str">
        <f>UPPER(Table2[[#This Row],[SITE]])</f>
        <v>H.H SHEIKH AMMAR BIN HUMAID AL NUAIMI (AL GURAM PALACE)</v>
      </c>
      <c r="D3" s="6" t="s">
        <v>30</v>
      </c>
    </row>
    <row r="4" spans="1:9" ht="34" customHeight="1" x14ac:dyDescent="0.3">
      <c r="A4" s="1" t="s">
        <v>31</v>
      </c>
      <c r="B4" s="17">
        <v>2</v>
      </c>
      <c r="C4" s="9" t="s">
        <v>31</v>
      </c>
      <c r="D4" s="13" t="s">
        <v>10</v>
      </c>
    </row>
    <row r="5" spans="1:9" ht="27.65" customHeight="1" x14ac:dyDescent="0.3">
      <c r="A5" s="7" t="s">
        <v>47</v>
      </c>
      <c r="B5" s="17">
        <v>3</v>
      </c>
      <c r="C5" s="9" t="str">
        <f>UPPER(Table2[[#This Row],[SITE]])</f>
        <v>REVIERA TOWER (SHARJAH)</v>
      </c>
      <c r="D5" s="13" t="s">
        <v>33</v>
      </c>
      <c r="I5" s="12"/>
    </row>
    <row r="6" spans="1:9" ht="27.65" customHeight="1" x14ac:dyDescent="0.3">
      <c r="A6" s="1">
        <v>2022</v>
      </c>
      <c r="B6" s="20"/>
      <c r="C6" s="24" t="str">
        <f>UPPER(Table2[[#This Row],[SITE]])</f>
        <v>2022</v>
      </c>
      <c r="D6" s="13"/>
      <c r="I6" s="23"/>
    </row>
    <row r="7" spans="1:9" ht="32.25" customHeight="1" x14ac:dyDescent="0.3">
      <c r="A7" s="1" t="s">
        <v>27</v>
      </c>
      <c r="B7" s="17">
        <v>4</v>
      </c>
      <c r="C7" s="9" t="str">
        <f>UPPER(Table2[[#This Row],[SITE]])</f>
        <v>CRAFTY FOX, JUMEIRAH GOLF ESTATE &amp;YAS LINKS, ABU DHABI</v>
      </c>
      <c r="D7" s="13" t="s">
        <v>11</v>
      </c>
    </row>
    <row r="8" spans="1:9" ht="27.65" customHeight="1" x14ac:dyDescent="0.3">
      <c r="A8" s="1" t="s">
        <v>12</v>
      </c>
      <c r="B8" s="17">
        <v>5</v>
      </c>
      <c r="C8" s="9" t="str">
        <f>UPPER(Table2[[#This Row],[SITE]])</f>
        <v>BOTANICA, JUMEIRAH GOLF ESTATE</v>
      </c>
      <c r="D8" s="14" t="s">
        <v>11</v>
      </c>
    </row>
    <row r="9" spans="1:9" ht="27.65" customHeight="1" x14ac:dyDescent="0.3">
      <c r="A9" s="1" t="s">
        <v>13</v>
      </c>
      <c r="B9" s="17">
        <v>6</v>
      </c>
      <c r="C9" s="9" t="str">
        <f>UPPER(Table2[[#This Row],[SITE]])</f>
        <v>VILLA L29, EMIRATES HILLS</v>
      </c>
      <c r="D9" s="14" t="s">
        <v>11</v>
      </c>
      <c r="E9" s="3"/>
      <c r="F9" s="3"/>
      <c r="G9" s="3"/>
    </row>
    <row r="10" spans="1:9" ht="27.65" customHeight="1" x14ac:dyDescent="0.3">
      <c r="A10" s="1" t="s">
        <v>14</v>
      </c>
      <c r="B10" s="17">
        <v>7</v>
      </c>
      <c r="C10" s="2" t="str">
        <f>UPPER(Table2[[#This Row],[SITE]])</f>
        <v>BUSSOLA, JUMEIRAH GOLF ESTATE</v>
      </c>
      <c r="D10" s="15" t="s">
        <v>11</v>
      </c>
    </row>
    <row r="11" spans="1:9" ht="27.65" customHeight="1" x14ac:dyDescent="0.3">
      <c r="A11" s="1">
        <v>2023</v>
      </c>
      <c r="B11" s="20"/>
      <c r="C11" s="21" t="str">
        <f>UPPER(Table2[[#This Row],[SITE]])</f>
        <v>2023</v>
      </c>
      <c r="D11" s="15"/>
    </row>
    <row r="12" spans="1:9" ht="27.65" customHeight="1" x14ac:dyDescent="0.3">
      <c r="A12" s="1" t="s">
        <v>15</v>
      </c>
      <c r="B12" s="17">
        <v>8</v>
      </c>
      <c r="C12" s="9" t="str">
        <f>UPPER(Table2[[#This Row],[SITE]])</f>
        <v>79 VILLA, DAMAC HILLS</v>
      </c>
      <c r="D12" s="13" t="s">
        <v>16</v>
      </c>
      <c r="E12" s="3"/>
    </row>
    <row r="13" spans="1:9" ht="27.65" customHeight="1" x14ac:dyDescent="0.3">
      <c r="A13" s="1" t="s">
        <v>49</v>
      </c>
      <c r="B13" s="17">
        <v>9</v>
      </c>
      <c r="C13" s="9" t="str">
        <f>UPPER(Table2[[#This Row],[SITE]])</f>
        <v>AL KHALEEJ SUGAR REFINERY, JAFZA</v>
      </c>
      <c r="D13" s="15" t="s">
        <v>50</v>
      </c>
      <c r="E13" s="3"/>
    </row>
    <row r="14" spans="1:9" ht="27.65" customHeight="1" x14ac:dyDescent="0.3">
      <c r="A14" s="1" t="s">
        <v>17</v>
      </c>
      <c r="B14" s="17">
        <v>10</v>
      </c>
      <c r="C14" s="9" t="str">
        <f>UPPER(Table2[[#This Row],[SITE]])</f>
        <v xml:space="preserve">SPARKLE TOWER, MARINA, JUMEIRAH </v>
      </c>
      <c r="D14" s="15" t="s">
        <v>18</v>
      </c>
      <c r="E14" s="3"/>
      <c r="F14" s="3"/>
    </row>
    <row r="15" spans="1:9" ht="27.65" customHeight="1" x14ac:dyDescent="0.3">
      <c r="A15" s="1" t="s">
        <v>19</v>
      </c>
      <c r="B15" s="17">
        <v>11</v>
      </c>
      <c r="C15" s="9" t="str">
        <f>UPPER(Table2[[#This Row],[SITE]])</f>
        <v>MUTEENAVILLA, DUBAI</v>
      </c>
      <c r="D15" s="14" t="s">
        <v>20</v>
      </c>
    </row>
    <row r="16" spans="1:9" ht="27.65" customHeight="1" x14ac:dyDescent="0.3">
      <c r="A16" s="1" t="s">
        <v>21</v>
      </c>
      <c r="B16" s="17">
        <v>12</v>
      </c>
      <c r="C16" s="9" t="str">
        <f>UPPER(Table2[[#This Row],[SITE]])</f>
        <v>GRAND BELLE VUE, BARSHA HEIGHTS</v>
      </c>
      <c r="D16" s="13" t="s">
        <v>11</v>
      </c>
      <c r="E16" s="10"/>
    </row>
    <row r="17" spans="1:4" ht="27.65" customHeight="1" x14ac:dyDescent="0.3">
      <c r="A17" s="1" t="s">
        <v>51</v>
      </c>
      <c r="B17" s="17">
        <v>13</v>
      </c>
      <c r="C17" s="9" t="str">
        <f>UPPER(Table2[[#This Row],[SITE]])</f>
        <v>AL KHALEEJ SUGAR CAMP, JEBAL ALI</v>
      </c>
      <c r="D17" s="13" t="s">
        <v>54</v>
      </c>
    </row>
    <row r="18" spans="1:4" ht="27.65" customHeight="1" x14ac:dyDescent="0.3">
      <c r="A18" s="1" t="s">
        <v>22</v>
      </c>
      <c r="B18" s="17">
        <v>14</v>
      </c>
      <c r="C18" s="9" t="str">
        <f>UPPER(Table2[[#This Row],[SITE]])</f>
        <v>YOGURT BERRY, SPORT SOCEITY</v>
      </c>
      <c r="D18" s="13" t="s">
        <v>11</v>
      </c>
    </row>
    <row r="19" spans="1:4" ht="27.65" customHeight="1" x14ac:dyDescent="0.3">
      <c r="A19" s="1" t="s">
        <v>23</v>
      </c>
      <c r="B19" s="17">
        <v>15</v>
      </c>
      <c r="C19" s="9" t="str">
        <f>UPPER(Table2[[#This Row],[SITE]])</f>
        <v xml:space="preserve">KAI ENZO RESTAURANT, HYATT CENTRIC </v>
      </c>
      <c r="D19" s="13" t="s">
        <v>11</v>
      </c>
    </row>
    <row r="20" spans="1:4" ht="27.65" customHeight="1" x14ac:dyDescent="0.3">
      <c r="A20" s="1">
        <v>2024</v>
      </c>
      <c r="B20" s="20"/>
      <c r="C20" s="24" t="str">
        <f>UPPER(Table2[[#This Row],[SITE]])</f>
        <v>2024</v>
      </c>
      <c r="D20" s="13"/>
    </row>
    <row r="21" spans="1:4" ht="27.65" customHeight="1" x14ac:dyDescent="0.3">
      <c r="A21" s="1" t="s">
        <v>24</v>
      </c>
      <c r="B21" s="17">
        <v>16</v>
      </c>
      <c r="C21" s="9" t="str">
        <f>UPPER(Table2[[#This Row],[SITE]])</f>
        <v>FAIR WAY, AL GARHOUD</v>
      </c>
      <c r="D21" s="13" t="s">
        <v>11</v>
      </c>
    </row>
    <row r="22" spans="1:4" ht="27.65" customHeight="1" x14ac:dyDescent="0.3">
      <c r="A22" s="1" t="s">
        <v>35</v>
      </c>
      <c r="B22" s="17">
        <v>17</v>
      </c>
      <c r="C22" s="9" t="str">
        <f>UPPER(Table2[[#This Row],[SITE]])</f>
        <v>CRAFTY FOX,YAS LINKS, ABU DHABI</v>
      </c>
      <c r="D22" s="13" t="s">
        <v>11</v>
      </c>
    </row>
    <row r="23" spans="1:4" ht="27.65" customHeight="1" x14ac:dyDescent="0.3">
      <c r="A23" s="1" t="s">
        <v>48</v>
      </c>
      <c r="B23" s="17">
        <v>18</v>
      </c>
      <c r="C23" s="16" t="str">
        <f>UPPER(Table2[[#This Row],[SITE]])</f>
        <v xml:space="preserve">CHINESE RESTAURANT, GRAND BELLE VUE, BARSHA HEIGHTS </v>
      </c>
      <c r="D23" s="13" t="s">
        <v>11</v>
      </c>
    </row>
    <row r="24" spans="1:4" ht="27.65" customHeight="1" x14ac:dyDescent="0.3">
      <c r="A24" s="1" t="s">
        <v>36</v>
      </c>
      <c r="B24" s="17">
        <v>19</v>
      </c>
      <c r="C24" s="16" t="str">
        <f>UPPER(Table2[[#This Row],[SITE]])</f>
        <v xml:space="preserve">TIGER JOX, GRAND HYATT, DUBAI </v>
      </c>
      <c r="D24" s="13" t="s">
        <v>11</v>
      </c>
    </row>
    <row r="25" spans="1:4" ht="27.65" customHeight="1" x14ac:dyDescent="0.3">
      <c r="A25" s="1" t="s">
        <v>37</v>
      </c>
      <c r="B25" s="17">
        <v>20</v>
      </c>
      <c r="C25" s="16" t="str">
        <f>UPPER(Table2[[#This Row],[SITE]])</f>
        <v xml:space="preserve">DRIFT BEACH CLUB, ONE &amp; ONLY ROYAL MIRAGE </v>
      </c>
      <c r="D25" s="13" t="s">
        <v>11</v>
      </c>
    </row>
    <row r="26" spans="1:4" ht="34" customHeight="1" x14ac:dyDescent="0.3">
      <c r="A26" s="1" t="s">
        <v>45</v>
      </c>
      <c r="B26" s="17">
        <v>21</v>
      </c>
      <c r="C26" s="16" t="str">
        <f>UPPER(Table2[[#This Row],[SITE]])</f>
        <v>(SHURA ISLAND HOTEL 3 EAST DUNE CAMP) DUPOD,DUBAI INDUSTRIAL CITY</v>
      </c>
      <c r="D26" s="13" t="s">
        <v>44</v>
      </c>
    </row>
    <row r="27" spans="1:4" ht="34" customHeight="1" x14ac:dyDescent="0.3">
      <c r="A27" s="1" t="s">
        <v>51</v>
      </c>
      <c r="B27" s="17">
        <v>22</v>
      </c>
      <c r="C27" s="9" t="str">
        <f>UPPER(Table2[[#This Row],[SITE]])</f>
        <v>AL KHALEEJ SUGAR CAMP, JEBAL ALI</v>
      </c>
      <c r="D27" s="13" t="s">
        <v>53</v>
      </c>
    </row>
    <row r="28" spans="1:4" ht="27.65" customHeight="1" x14ac:dyDescent="0.3">
      <c r="A28" s="1" t="s">
        <v>38</v>
      </c>
      <c r="B28" s="17">
        <v>23</v>
      </c>
      <c r="C28" s="16" t="str">
        <f>UPPER(Table2[[#This Row],[SITE]])</f>
        <v xml:space="preserve">LAA BROCHIE RESTURANT, CITY LAND MALL </v>
      </c>
      <c r="D28" s="13" t="s">
        <v>11</v>
      </c>
    </row>
    <row r="29" spans="1:4" ht="27.65" customHeight="1" x14ac:dyDescent="0.3">
      <c r="A29" s="1" t="s">
        <v>39</v>
      </c>
      <c r="B29" s="17">
        <v>24</v>
      </c>
      <c r="C29" s="16" t="str">
        <f>UPPER(Table2[[#This Row],[SITE]])</f>
        <v xml:space="preserve">MAIN KITCHEN RENOVATION, WESTIN MINA SIYAHE </v>
      </c>
      <c r="D29" s="13" t="s">
        <v>11</v>
      </c>
    </row>
    <row r="30" spans="1:4" ht="27.65" customHeight="1" x14ac:dyDescent="0.3">
      <c r="A30" s="1" t="s">
        <v>40</v>
      </c>
      <c r="B30" s="17">
        <v>25</v>
      </c>
      <c r="C30" s="16" t="str">
        <f>UPPER(Table2[[#This Row],[SITE]])</f>
        <v>COLD KITCHEN RENOVATION, WESTIN MINA SIYAHE</v>
      </c>
      <c r="D30" s="13" t="s">
        <v>11</v>
      </c>
    </row>
    <row r="31" spans="1:4" ht="27.65" customHeight="1" x14ac:dyDescent="0.3">
      <c r="A31" s="1" t="s">
        <v>51</v>
      </c>
      <c r="B31" s="17">
        <v>26</v>
      </c>
      <c r="C31" s="9" t="str">
        <f>UPPER(Table2[[#This Row],[SITE]])</f>
        <v>AL KHALEEJ SUGAR CAMP, JEBAL ALI</v>
      </c>
      <c r="D31" s="13" t="s">
        <v>52</v>
      </c>
    </row>
    <row r="32" spans="1:4" ht="31.1" customHeight="1" x14ac:dyDescent="0.3">
      <c r="A32" s="1" t="s">
        <v>41</v>
      </c>
      <c r="B32" s="17">
        <v>27</v>
      </c>
      <c r="C32" s="16" t="str">
        <f>UPPER(Table2[[#This Row],[SITE]])</f>
        <v>MAIN KITCHEN RENOVATION, LEMERIDIAN MINA SIYAHE</v>
      </c>
      <c r="D32" s="13" t="s">
        <v>11</v>
      </c>
    </row>
    <row r="33" spans="1:4" ht="31.1" customHeight="1" x14ac:dyDescent="0.3">
      <c r="A33" s="1">
        <v>2025</v>
      </c>
      <c r="B33" s="20"/>
      <c r="C33" s="25" t="str">
        <f>UPPER(Table2[[#This Row],[SITE]])</f>
        <v>2025</v>
      </c>
      <c r="D33" s="13"/>
    </row>
    <row r="34" spans="1:4" ht="27.65" customHeight="1" x14ac:dyDescent="0.3">
      <c r="A34" s="1" t="s">
        <v>42</v>
      </c>
      <c r="B34" s="17">
        <v>28</v>
      </c>
      <c r="C34" s="16" t="str">
        <f>UPPER(Table2[[#This Row],[SITE]])</f>
        <v>KURASU RESTAURANT, DAR AL WASL MALL</v>
      </c>
      <c r="D34" s="13" t="s">
        <v>11</v>
      </c>
    </row>
    <row r="35" spans="1:4" ht="27.65" customHeight="1" x14ac:dyDescent="0.3">
      <c r="A35" s="1" t="s">
        <v>43</v>
      </c>
      <c r="B35" s="17">
        <v>29</v>
      </c>
      <c r="C35" s="16" t="str">
        <f>UPPER(Table2[[#This Row],[SITE]])</f>
        <v xml:space="preserve">FLAT 401, AL HASEER 7, PALM JUMEIRAH  </v>
      </c>
      <c r="D35" s="6" t="s">
        <v>11</v>
      </c>
    </row>
    <row r="36" spans="1:4" ht="27.65" customHeight="1" x14ac:dyDescent="0.3">
      <c r="A36" s="1" t="s">
        <v>51</v>
      </c>
      <c r="B36" s="17">
        <v>30</v>
      </c>
      <c r="C36" s="2" t="str">
        <f>UPPER(Table2[[#This Row],[SITE]])</f>
        <v>AL KHALEEJ SUGAR CAMP, JEBAL ALI</v>
      </c>
      <c r="D36" s="19" t="s">
        <v>55</v>
      </c>
    </row>
    <row r="37" spans="1:4" ht="27.65" customHeight="1" x14ac:dyDescent="0.3">
      <c r="A37" s="1" t="s">
        <v>51</v>
      </c>
      <c r="B37" s="20">
        <v>31</v>
      </c>
      <c r="C37" s="16" t="str">
        <f>UPPER(Table2[[#This Row],[SITE]])</f>
        <v>AL KHALEEJ SUGAR CAMP, JEBAL ALI</v>
      </c>
      <c r="D37" s="19" t="s">
        <v>56</v>
      </c>
    </row>
    <row r="38" spans="1:4" ht="27.65" customHeight="1" x14ac:dyDescent="0.3">
      <c r="A38" s="1" t="s">
        <v>51</v>
      </c>
      <c r="B38" s="20">
        <v>32</v>
      </c>
      <c r="C38" s="16" t="str">
        <f>UPPER(Table2[[#This Row],[SITE]])</f>
        <v>AL KHALEEJ SUGAR CAMP, JEBAL ALI</v>
      </c>
      <c r="D38" s="6" t="s">
        <v>57</v>
      </c>
    </row>
    <row r="39" spans="1:4" ht="27.65" customHeight="1" x14ac:dyDescent="0.3">
      <c r="A39" s="1" t="s">
        <v>51</v>
      </c>
      <c r="B39" s="20">
        <v>33</v>
      </c>
      <c r="C39" s="16" t="str">
        <f>UPPER(Table2[[#This Row],[SITE]])</f>
        <v>AL KHALEEJ SUGAR CAMP, JEBAL ALI</v>
      </c>
      <c r="D39" s="6" t="s">
        <v>58</v>
      </c>
    </row>
    <row r="40" spans="1:4" ht="27.65" customHeight="1" x14ac:dyDescent="0.3">
      <c r="A40" s="1" t="s">
        <v>63</v>
      </c>
      <c r="B40" s="20">
        <v>34</v>
      </c>
      <c r="C40" s="16" t="str">
        <f>UPPER(Table2[[#This Row],[SITE]])</f>
        <v>NAFFCO (AL SATWA 1) 2 SITES</v>
      </c>
      <c r="D40" s="6" t="s">
        <v>59</v>
      </c>
    </row>
    <row r="41" spans="1:4" ht="27.65" customHeight="1" x14ac:dyDescent="0.3">
      <c r="A41" s="1" t="s">
        <v>60</v>
      </c>
      <c r="B41" s="20">
        <v>35</v>
      </c>
      <c r="C41" s="16" t="str">
        <f>UPPER(Table2[[#This Row],[SITE]])</f>
        <v xml:space="preserve">NAFFCO (AL FURJAN) </v>
      </c>
      <c r="D41" s="6" t="s">
        <v>59</v>
      </c>
    </row>
    <row r="42" spans="1:4" ht="27.65" customHeight="1" x14ac:dyDescent="0.3">
      <c r="A42" s="1" t="s">
        <v>61</v>
      </c>
      <c r="B42" s="20">
        <v>36</v>
      </c>
      <c r="C42" s="16" t="str">
        <f>UPPER(Table2[[#This Row],[SITE]])</f>
        <v xml:space="preserve">NAFFCO (AL JUBAIL, SHARJAH) </v>
      </c>
      <c r="D42" s="6" t="s">
        <v>59</v>
      </c>
    </row>
    <row r="43" spans="1:4" ht="27.65" customHeight="1" x14ac:dyDescent="0.3">
      <c r="A43" s="1" t="s">
        <v>62</v>
      </c>
      <c r="B43" s="20">
        <v>37</v>
      </c>
      <c r="C43" s="16" t="str">
        <f>UPPER(Table2[[#This Row],[SITE]])</f>
        <v>NAFFCO (AL JADA, SHARJAH) 2 SITES</v>
      </c>
      <c r="D43" s="6" t="s">
        <v>59</v>
      </c>
    </row>
    <row r="44" spans="1:4" ht="27.65" customHeight="1" x14ac:dyDescent="0.3">
      <c r="A44" s="1" t="s">
        <v>64</v>
      </c>
      <c r="B44" s="20">
        <v>38</v>
      </c>
      <c r="C44" s="16" t="str">
        <f>UPPER(Table2[[#This Row],[SITE]])</f>
        <v>NAFFCO (JUMEIRAH VILLAGE CIRCLE)</v>
      </c>
      <c r="D44" s="6" t="s">
        <v>59</v>
      </c>
    </row>
    <row r="45" spans="1:4" ht="27.65" customHeight="1" x14ac:dyDescent="0.3">
      <c r="A45" s="1" t="s">
        <v>65</v>
      </c>
      <c r="B45" s="20">
        <v>39</v>
      </c>
      <c r="C45" s="16" t="str">
        <f>UPPER(Table2[[#This Row],[SITE]])</f>
        <v>NAFFCO (AL QUDRA ROAD)</v>
      </c>
      <c r="D45" s="6" t="s">
        <v>59</v>
      </c>
    </row>
    <row r="46" spans="1:4" ht="27.65" customHeight="1" x14ac:dyDescent="0.3">
      <c r="A46" s="1" t="s">
        <v>66</v>
      </c>
      <c r="B46" s="20">
        <v>40</v>
      </c>
      <c r="C46" s="16" t="str">
        <f>UPPER(Table2[[#This Row],[SITE]])</f>
        <v>G+7 RESIDENTIAL BUILDING AJMAN</v>
      </c>
      <c r="D46" s="6" t="s">
        <v>67</v>
      </c>
    </row>
    <row r="47" spans="1:4" ht="27.65" customHeight="1" x14ac:dyDescent="0.3">
      <c r="A47" s="1" t="s">
        <v>82</v>
      </c>
      <c r="B47" s="20">
        <v>41</v>
      </c>
      <c r="C47" s="16" t="str">
        <f>UPPER(Table2[[#This Row],[SITE]])</f>
        <v>AZURE LOUNGE (JUMEIRAH)</v>
      </c>
      <c r="D47" s="6" t="s">
        <v>11</v>
      </c>
    </row>
    <row r="48" spans="1:4" ht="27.65" customHeight="1" x14ac:dyDescent="0.3">
      <c r="A48" s="1" t="s">
        <v>83</v>
      </c>
      <c r="B48" s="20">
        <v>42</v>
      </c>
      <c r="C48" s="16" t="str">
        <f>UPPER(Table2[[#This Row],[SITE]])</f>
        <v>KURASU RESTAURANT, DFC MALL</v>
      </c>
      <c r="D48" s="6" t="s">
        <v>11</v>
      </c>
    </row>
    <row r="49" spans="1:4" ht="27.65" customHeight="1" x14ac:dyDescent="0.3">
      <c r="A49" s="1" t="s">
        <v>84</v>
      </c>
      <c r="B49" s="20">
        <v>43</v>
      </c>
      <c r="C49" s="16" t="str">
        <f>UPPER(Table2[[#This Row],[SITE]])</f>
        <v>G+4+R, AL KHALEEJ CAMP, JEBAL ALI</v>
      </c>
      <c r="D49" s="6" t="s">
        <v>85</v>
      </c>
    </row>
    <row r="50" spans="1:4" ht="27.65" customHeight="1" x14ac:dyDescent="0.3">
      <c r="A50" s="1" t="s">
        <v>86</v>
      </c>
      <c r="B50" s="20">
        <v>44</v>
      </c>
      <c r="C50" s="16" t="str">
        <f>UPPER(Table2[[#This Row],[SITE]])</f>
        <v>JUMEIRAH GOLF ESTATE (WASHROOM0</v>
      </c>
      <c r="D50" s="6" t="s">
        <v>11</v>
      </c>
    </row>
    <row r="51" spans="1:4" ht="27.65" customHeight="1" x14ac:dyDescent="0.3">
      <c r="A51" s="1" t="s">
        <v>87</v>
      </c>
      <c r="B51" s="20">
        <v>45</v>
      </c>
      <c r="C51" s="16" t="str">
        <f>UPPER(Table2[[#This Row],[SITE]])</f>
        <v xml:space="preserve">FIVE IRON GOLF, WESTIN MARINA </v>
      </c>
      <c r="D51" s="6" t="s">
        <v>11</v>
      </c>
    </row>
    <row r="52" spans="1:4" ht="27.65" customHeight="1" x14ac:dyDescent="0.3">
      <c r="A52" s="1" t="s">
        <v>88</v>
      </c>
      <c r="B52" s="20">
        <v>46</v>
      </c>
      <c r="C52" s="16" t="str">
        <f>UPPER(Table2[[#This Row],[SITE]])</f>
        <v>3 BHK APARTMENT, CITY WALK</v>
      </c>
      <c r="D52" s="6" t="s">
        <v>11</v>
      </c>
    </row>
    <row r="53" spans="1:4" ht="27.65" customHeight="1" x14ac:dyDescent="0.3">
      <c r="A53" s="1">
        <v>2026</v>
      </c>
      <c r="B53" s="20"/>
      <c r="C53" s="25" t="str">
        <f>UPPER(Table2[[#This Row],[SITE]])</f>
        <v>2026</v>
      </c>
      <c r="D53" s="6"/>
    </row>
    <row r="54" spans="1:4" ht="27.65" customHeight="1" x14ac:dyDescent="0.3">
      <c r="A54" s="1" t="s">
        <v>89</v>
      </c>
      <c r="B54" s="20">
        <v>47</v>
      </c>
      <c r="C54" s="16" t="str">
        <f>UPPER(Table2[[#This Row],[SITE]])</f>
        <v xml:space="preserve">ONTARIO TOWER OFFICE RENOVATION, BUSINESS BAY </v>
      </c>
      <c r="D54" s="6" t="s">
        <v>11</v>
      </c>
    </row>
    <row r="55" spans="1:4" ht="27.65" customHeight="1" x14ac:dyDescent="0.3">
      <c r="A55" s="1" t="s">
        <v>90</v>
      </c>
      <c r="B55" s="20">
        <v>48</v>
      </c>
      <c r="C55" s="16" t="str">
        <f>UPPER(Table2[[#This Row],[SITE]])</f>
        <v>DIRTI BIRTI BAR, WESTIN MARINA</v>
      </c>
      <c r="D55" s="6" t="s">
        <v>11</v>
      </c>
    </row>
    <row r="56" spans="1:4" ht="27.65" customHeight="1" x14ac:dyDescent="0.3">
      <c r="A56" s="1" t="s">
        <v>91</v>
      </c>
      <c r="B56" s="20">
        <v>49</v>
      </c>
      <c r="C56" s="16" t="str">
        <f>UPPER(Table2[[#This Row],[SITE]])</f>
        <v>FIVE IRON GOLF, DAMAC PARAMOUNT, BUSINESS BAY</v>
      </c>
      <c r="D56" s="6" t="s">
        <v>11</v>
      </c>
    </row>
    <row r="57" spans="1:4" ht="27.65" customHeight="1" x14ac:dyDescent="0.3">
      <c r="A57" s="1" t="s">
        <v>91</v>
      </c>
      <c r="B57" s="20">
        <v>50</v>
      </c>
      <c r="C57" s="16" t="str">
        <f>UPPER(Table2[[#This Row],[SITE]])</f>
        <v>FIVE IRON GOLF, DAMAC PARAMOUNT, BUSINESS BAY</v>
      </c>
      <c r="D57" s="6" t="s">
        <v>97</v>
      </c>
    </row>
    <row r="58" spans="1:4" ht="27.65" customHeight="1" x14ac:dyDescent="0.3">
      <c r="A58" s="1" t="s">
        <v>92</v>
      </c>
      <c r="B58" s="20">
        <v>51</v>
      </c>
      <c r="C58" s="16" t="str">
        <f>UPPER(Table2[[#This Row],[SITE]])</f>
        <v>KURASU, SADIYAT GROVE MALL</v>
      </c>
      <c r="D58" s="6" t="s">
        <v>11</v>
      </c>
    </row>
    <row r="59" spans="1:4" ht="27.65" customHeight="1" x14ac:dyDescent="0.3">
      <c r="A59" s="1" t="s">
        <v>81</v>
      </c>
      <c r="B59" s="20">
        <v>52</v>
      </c>
      <c r="C59" s="16" t="str">
        <f>UPPER(Table2[[#This Row],[SITE]])</f>
        <v xml:space="preserve">API PACKING INDUSTRIES (AL KHABAISI, DEIRA) </v>
      </c>
      <c r="D59" s="6" t="s">
        <v>11</v>
      </c>
    </row>
    <row r="60" spans="1:4" ht="27.65" customHeight="1" x14ac:dyDescent="0.3">
      <c r="A60" s="1" t="s">
        <v>93</v>
      </c>
      <c r="B60" s="20">
        <v>53</v>
      </c>
      <c r="C60" s="16" t="str">
        <f>UPPER(Table2[[#This Row],[SITE]])</f>
        <v xml:space="preserve">KURASU, DIFC </v>
      </c>
      <c r="D60" s="6" t="s">
        <v>11</v>
      </c>
    </row>
    <row r="61" spans="1:4" ht="27.65" customHeight="1" x14ac:dyDescent="0.3">
      <c r="A61" s="1" t="s">
        <v>94</v>
      </c>
      <c r="B61" s="20">
        <v>54</v>
      </c>
      <c r="C61" s="16" t="str">
        <f>UPPER(Table2[[#This Row],[SITE]])</f>
        <v xml:space="preserve">HUDSON &amp; RAY RESTAURANT, DIFC </v>
      </c>
      <c r="D61" s="6" t="s">
        <v>11</v>
      </c>
    </row>
    <row r="62" spans="1:4" ht="27.65" customHeight="1" x14ac:dyDescent="0.3">
      <c r="A62" s="1" t="s">
        <v>104</v>
      </c>
      <c r="B62" s="20">
        <v>55</v>
      </c>
      <c r="C62" s="16" t="str">
        <f>UPPER(Table2[[#This Row],[SITE]])</f>
        <v>FIVE IRON GOLF, YAS BAY MALL G+1</v>
      </c>
      <c r="D62" s="6" t="s">
        <v>11</v>
      </c>
    </row>
    <row r="63" spans="1:4" ht="27.65" customHeight="1" x14ac:dyDescent="0.3">
      <c r="A63" s="1" t="s">
        <v>95</v>
      </c>
      <c r="B63" s="20">
        <v>56</v>
      </c>
      <c r="C63" s="16" t="str">
        <f>UPPER(Table2[[#This Row],[SITE]])</f>
        <v>FIVE IRON GOLF, YAS BAY MALL</v>
      </c>
      <c r="D63" s="6" t="s">
        <v>96</v>
      </c>
    </row>
    <row r="64" spans="1:4" ht="27.65" customHeight="1" x14ac:dyDescent="0.3">
      <c r="A64" s="1" t="s">
        <v>98</v>
      </c>
      <c r="B64" s="20">
        <v>57</v>
      </c>
      <c r="C64" s="16" t="str">
        <f>UPPER(Table2[[#This Row],[SITE]])</f>
        <v>AL KHALEEJ CAMP, JEBAL ALI</v>
      </c>
      <c r="D64" s="6" t="s">
        <v>99</v>
      </c>
    </row>
    <row r="65" spans="1:4" ht="27.65" customHeight="1" x14ac:dyDescent="0.3">
      <c r="A65" s="1" t="s">
        <v>94</v>
      </c>
      <c r="B65" s="20">
        <v>58</v>
      </c>
      <c r="C65" s="16" t="str">
        <f>UPPER(Table2[[#This Row],[SITE]])</f>
        <v xml:space="preserve">HUDSON &amp; RAY RESTAURANT, DIFC </v>
      </c>
      <c r="D65" s="6" t="s">
        <v>99</v>
      </c>
    </row>
    <row r="66" spans="1:4" ht="27.65" customHeight="1" x14ac:dyDescent="0.3">
      <c r="A66" s="1" t="s">
        <v>100</v>
      </c>
      <c r="B66" s="20">
        <v>59</v>
      </c>
      <c r="C66" s="16" t="str">
        <f>UPPER(Table2[[#This Row],[SITE]])</f>
        <v xml:space="preserve">ROWLEYS RESTAURANT, YAS BAY </v>
      </c>
      <c r="D66" s="6" t="s">
        <v>11</v>
      </c>
    </row>
    <row r="67" spans="1:4" ht="27.65" customHeight="1" x14ac:dyDescent="0.3">
      <c r="A67" s="1" t="s">
        <v>101</v>
      </c>
      <c r="B67" s="20">
        <v>60</v>
      </c>
      <c r="C67" s="16" t="str">
        <f>UPPER(Table2[[#This Row],[SITE]])</f>
        <v xml:space="preserve">BOTA CAFÉ, JUMEIRAH GOLF ESTATE </v>
      </c>
      <c r="D67" s="6" t="s">
        <v>11</v>
      </c>
    </row>
    <row r="68" spans="1:4" ht="27.65" customHeight="1" x14ac:dyDescent="0.3">
      <c r="A68" s="1" t="s">
        <v>102</v>
      </c>
      <c r="B68" s="20">
        <v>61</v>
      </c>
      <c r="C68" s="16" t="str">
        <f>UPPER(Table2[[#This Row],[SITE]])</f>
        <v xml:space="preserve">CLUB JUMANA, JEBAL ALI </v>
      </c>
      <c r="D68" s="6" t="s">
        <v>103</v>
      </c>
    </row>
    <row r="69" spans="1:4" ht="27.65" customHeight="1" x14ac:dyDescent="0.3">
      <c r="A69" s="1" t="s">
        <v>95</v>
      </c>
      <c r="B69" s="20">
        <v>62</v>
      </c>
      <c r="C69" s="16" t="str">
        <f>UPPER(Table2[[#This Row],[SITE]])</f>
        <v>FIVE IRON GOLF, YAS BAY MALL</v>
      </c>
      <c r="D69" s="6" t="s">
        <v>105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8FAD-DCC1-4AF3-9C62-E9132DB87ACE}">
  <dimension ref="A1:I42"/>
  <sheetViews>
    <sheetView workbookViewId="0">
      <selection activeCell="H10" sqref="H10"/>
    </sheetView>
  </sheetViews>
  <sheetFormatPr defaultRowHeight="14.4" x14ac:dyDescent="0.3"/>
  <cols>
    <col min="1" max="1" width="45.09765625" customWidth="1"/>
    <col min="2" max="2" width="7.8984375" style="18" bestFit="1" customWidth="1"/>
    <col min="3" max="3" width="47.796875" customWidth="1"/>
    <col min="4" max="4" width="36.69921875" bestFit="1" customWidth="1"/>
  </cols>
  <sheetData>
    <row r="1" spans="1:9" ht="27.65" customHeight="1" x14ac:dyDescent="0.3">
      <c r="A1" s="5" t="s">
        <v>25</v>
      </c>
      <c r="B1" s="8" t="s">
        <v>34</v>
      </c>
      <c r="C1" s="8" t="s">
        <v>46</v>
      </c>
      <c r="D1" s="4" t="s">
        <v>26</v>
      </c>
    </row>
    <row r="2" spans="1:9" ht="31.7" customHeight="1" x14ac:dyDescent="0.3">
      <c r="A2" s="1" t="s">
        <v>68</v>
      </c>
      <c r="B2" s="20">
        <v>1</v>
      </c>
      <c r="C2" s="16" t="s">
        <v>76</v>
      </c>
      <c r="D2" s="6" t="s">
        <v>59</v>
      </c>
    </row>
    <row r="3" spans="1:9" ht="31.7" customHeight="1" x14ac:dyDescent="0.3">
      <c r="A3" s="1" t="s">
        <v>68</v>
      </c>
      <c r="B3" s="20">
        <v>2</v>
      </c>
      <c r="C3" s="16" t="s">
        <v>80</v>
      </c>
      <c r="D3" s="6" t="s">
        <v>59</v>
      </c>
    </row>
    <row r="4" spans="1:9" ht="34" customHeight="1" x14ac:dyDescent="0.3">
      <c r="A4" s="1" t="s">
        <v>60</v>
      </c>
      <c r="B4" s="20">
        <v>3</v>
      </c>
      <c r="C4" s="16" t="s">
        <v>69</v>
      </c>
      <c r="D4" s="6" t="s">
        <v>59</v>
      </c>
    </row>
    <row r="5" spans="1:9" ht="27.65" customHeight="1" x14ac:dyDescent="0.3">
      <c r="A5" s="1" t="s">
        <v>61</v>
      </c>
      <c r="B5" s="20">
        <v>4</v>
      </c>
      <c r="C5" s="16" t="s">
        <v>79</v>
      </c>
      <c r="D5" s="6" t="s">
        <v>59</v>
      </c>
      <c r="I5" s="12"/>
    </row>
    <row r="6" spans="1:9" ht="32.25" customHeight="1" x14ac:dyDescent="0.3">
      <c r="A6" s="1" t="s">
        <v>71</v>
      </c>
      <c r="B6" s="20">
        <v>5</v>
      </c>
      <c r="C6" s="16" t="s">
        <v>70</v>
      </c>
      <c r="D6" s="6" t="s">
        <v>59</v>
      </c>
    </row>
    <row r="7" spans="1:9" ht="32.25" customHeight="1" x14ac:dyDescent="0.3">
      <c r="A7" s="1" t="s">
        <v>71</v>
      </c>
      <c r="B7" s="20">
        <v>6</v>
      </c>
      <c r="C7" s="16" t="s">
        <v>73</v>
      </c>
      <c r="D7" s="6" t="s">
        <v>59</v>
      </c>
    </row>
    <row r="8" spans="1:9" ht="27.65" customHeight="1" x14ac:dyDescent="0.3">
      <c r="A8" s="1" t="s">
        <v>64</v>
      </c>
      <c r="B8" s="20">
        <v>7</v>
      </c>
      <c r="C8" s="16" t="s">
        <v>72</v>
      </c>
      <c r="D8" s="6" t="s">
        <v>59</v>
      </c>
    </row>
    <row r="9" spans="1:9" ht="27.65" customHeight="1" x14ac:dyDescent="0.3">
      <c r="A9" s="1" t="s">
        <v>75</v>
      </c>
      <c r="B9" s="20">
        <v>8</v>
      </c>
      <c r="C9" s="16" t="s">
        <v>74</v>
      </c>
      <c r="D9" s="6" t="s">
        <v>59</v>
      </c>
      <c r="E9" s="3"/>
      <c r="F9" s="3"/>
      <c r="G9" s="3"/>
    </row>
    <row r="10" spans="1:9" ht="27.65" customHeight="1" x14ac:dyDescent="0.3">
      <c r="A10" s="1" t="s">
        <v>78</v>
      </c>
      <c r="B10" s="20">
        <v>9</v>
      </c>
      <c r="C10" s="16" t="s">
        <v>77</v>
      </c>
      <c r="D10" s="6" t="s">
        <v>59</v>
      </c>
      <c r="E10" s="3"/>
    </row>
    <row r="11" spans="1:9" ht="27.65" customHeight="1" x14ac:dyDescent="0.3">
      <c r="E11" s="3"/>
    </row>
    <row r="12" spans="1:9" ht="27.65" customHeight="1" x14ac:dyDescent="0.3">
      <c r="E12" s="3"/>
      <c r="F12" s="3"/>
    </row>
    <row r="13" spans="1:9" ht="27.65" customHeight="1" x14ac:dyDescent="0.3"/>
    <row r="14" spans="1:9" ht="27.65" customHeight="1" x14ac:dyDescent="0.3">
      <c r="E14" s="10"/>
    </row>
    <row r="15" spans="1:9" ht="27.65" customHeight="1" x14ac:dyDescent="0.3"/>
    <row r="16" spans="1:9" ht="27.65" customHeight="1" x14ac:dyDescent="0.3"/>
    <row r="17" ht="27.65" customHeight="1" x14ac:dyDescent="0.3"/>
    <row r="18" ht="27.65" customHeight="1" x14ac:dyDescent="0.3"/>
    <row r="19" ht="27.65" customHeight="1" x14ac:dyDescent="0.3"/>
    <row r="20" ht="27.65" customHeight="1" x14ac:dyDescent="0.3"/>
    <row r="21" ht="27.65" customHeight="1" x14ac:dyDescent="0.3"/>
    <row r="22" ht="27.65" customHeight="1" x14ac:dyDescent="0.3"/>
    <row r="23" ht="34" customHeight="1" x14ac:dyDescent="0.3"/>
    <row r="24" ht="34" customHeight="1" x14ac:dyDescent="0.3"/>
    <row r="25" ht="27.65" customHeight="1" x14ac:dyDescent="0.3"/>
    <row r="26" ht="27.65" customHeight="1" x14ac:dyDescent="0.3"/>
    <row r="27" ht="27.65" customHeight="1" x14ac:dyDescent="0.3"/>
    <row r="28" ht="27.65" customHeight="1" x14ac:dyDescent="0.3"/>
    <row r="29" ht="31.1" customHeight="1" x14ac:dyDescent="0.3"/>
    <row r="30" ht="27.65" customHeight="1" x14ac:dyDescent="0.3"/>
    <row r="31" ht="27.65" customHeight="1" x14ac:dyDescent="0.3"/>
    <row r="32" ht="27.65" customHeight="1" x14ac:dyDescent="0.3"/>
    <row r="33" ht="27.65" customHeight="1" x14ac:dyDescent="0.3"/>
    <row r="34" ht="27.65" customHeight="1" x14ac:dyDescent="0.3"/>
    <row r="35" ht="27.65" customHeight="1" x14ac:dyDescent="0.3"/>
    <row r="36" ht="27.65" customHeight="1" x14ac:dyDescent="0.3"/>
    <row r="37" ht="27.65" customHeight="1" x14ac:dyDescent="0.3"/>
    <row r="38" ht="27.65" customHeight="1" x14ac:dyDescent="0.3"/>
    <row r="39" ht="27.65" customHeight="1" x14ac:dyDescent="0.3"/>
    <row r="40" ht="27.65" customHeight="1" x14ac:dyDescent="0.3"/>
    <row r="41" ht="27.65" customHeight="1" x14ac:dyDescent="0.3"/>
    <row r="42" ht="27.65" customHeight="1" x14ac:dyDescent="0.3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7039-E5EF-4212-9320-A28846FD4F9C}">
  <dimension ref="A1:I31"/>
  <sheetViews>
    <sheetView workbookViewId="0">
      <selection activeCell="G11" sqref="G11"/>
    </sheetView>
  </sheetViews>
  <sheetFormatPr defaultRowHeight="14.4" x14ac:dyDescent="0.3"/>
  <cols>
    <col min="1" max="1" width="45.09765625" customWidth="1"/>
    <col min="2" max="2" width="7.8984375" style="18" bestFit="1" customWidth="1"/>
    <col min="3" max="3" width="47.796875" customWidth="1"/>
    <col min="4" max="4" width="36.69921875" bestFit="1" customWidth="1"/>
  </cols>
  <sheetData>
    <row r="1" spans="1:9" ht="27.65" customHeight="1" x14ac:dyDescent="0.3">
      <c r="A1" s="5" t="s">
        <v>25</v>
      </c>
      <c r="B1" s="8" t="s">
        <v>34</v>
      </c>
      <c r="C1" s="8" t="s">
        <v>29</v>
      </c>
      <c r="D1" s="4" t="s">
        <v>26</v>
      </c>
    </row>
    <row r="2" spans="1:9" ht="31.7" customHeight="1" x14ac:dyDescent="0.3">
      <c r="A2" s="1" t="s">
        <v>28</v>
      </c>
      <c r="B2" s="17">
        <v>1</v>
      </c>
      <c r="C2" s="9" t="str">
        <f>UPPER(Table22[[#This Row],[SITE]])</f>
        <v>H.H SHEIKH AMMAR BIN HUMAID AL NUAIMI (AL GURAM PALACE)</v>
      </c>
      <c r="D2" s="6" t="s">
        <v>30</v>
      </c>
    </row>
    <row r="3" spans="1:9" ht="34" customHeight="1" x14ac:dyDescent="0.3">
      <c r="A3" s="1" t="s">
        <v>31</v>
      </c>
      <c r="B3" s="17">
        <v>2</v>
      </c>
      <c r="C3" s="9" t="s">
        <v>31</v>
      </c>
      <c r="D3" s="13" t="s">
        <v>10</v>
      </c>
    </row>
    <row r="4" spans="1:9" ht="27.65" customHeight="1" x14ac:dyDescent="0.3">
      <c r="A4" s="7" t="s">
        <v>32</v>
      </c>
      <c r="B4" s="17">
        <v>3</v>
      </c>
      <c r="C4" s="9" t="str">
        <f>UPPER(Table22[[#This Row],[SITE]])</f>
        <v>REVIERA TOWER (SHARJAH)</v>
      </c>
      <c r="D4" s="13" t="s">
        <v>33</v>
      </c>
      <c r="I4" s="12"/>
    </row>
    <row r="5" spans="1:9" ht="27.65" customHeight="1" x14ac:dyDescent="0.3">
      <c r="A5" s="1" t="s">
        <v>0</v>
      </c>
      <c r="B5" s="17">
        <v>4</v>
      </c>
      <c r="C5" s="9" t="str">
        <f>UPPER(Table22[[#This Row],[SITE]])</f>
        <v>PRIVATEVILLA 131 AL JURAINASHARJAH</v>
      </c>
      <c r="D5" s="14" t="s">
        <v>1</v>
      </c>
    </row>
    <row r="6" spans="1:9" ht="27.65" customHeight="1" x14ac:dyDescent="0.3">
      <c r="A6" s="1" t="s">
        <v>2</v>
      </c>
      <c r="B6" s="17">
        <v>5</v>
      </c>
      <c r="C6" s="9" t="str">
        <f>UPPER(Table22[[#This Row],[SITE]])</f>
        <v>PRIVATE VILLA 334 RAHMANIA, SHARJAH</v>
      </c>
      <c r="D6" s="15" t="s">
        <v>3</v>
      </c>
      <c r="E6" s="3"/>
    </row>
    <row r="7" spans="1:9" ht="27.65" customHeight="1" x14ac:dyDescent="0.3">
      <c r="A7" s="1" t="s">
        <v>4</v>
      </c>
      <c r="B7" s="17">
        <v>6</v>
      </c>
      <c r="C7" s="9" t="str">
        <f>UPPER(Table22[[#This Row],[SITE]])</f>
        <v>PRIVATE VILLA 1582 RAHMANIA, SHARJAH</v>
      </c>
      <c r="D7" s="14" t="s">
        <v>3</v>
      </c>
    </row>
    <row r="8" spans="1:9" ht="27.65" customHeight="1" x14ac:dyDescent="0.3">
      <c r="A8" s="1" t="s">
        <v>5</v>
      </c>
      <c r="B8" s="17">
        <v>7</v>
      </c>
      <c r="C8" s="9" t="str">
        <f>UPPER(Table22[[#This Row],[SITE]])</f>
        <v>PRIVATE VILLA 6 RAHMANIA, SHARJAH</v>
      </c>
      <c r="D8" s="13" t="s">
        <v>6</v>
      </c>
      <c r="E8" s="11"/>
      <c r="F8" s="10"/>
    </row>
    <row r="9" spans="1:9" ht="27.65" customHeight="1" x14ac:dyDescent="0.3">
      <c r="A9" s="1" t="s">
        <v>7</v>
      </c>
      <c r="B9" s="17">
        <v>8</v>
      </c>
      <c r="C9" s="9" t="str">
        <f>UPPER(Table22[[#This Row],[SITE]])</f>
        <v>PRIVATE VILLA 10 SHARQAN, SHARJAH</v>
      </c>
      <c r="D9" s="13" t="s">
        <v>8</v>
      </c>
    </row>
    <row r="10" spans="1:9" ht="27.65" customHeight="1" x14ac:dyDescent="0.3">
      <c r="A10" s="1" t="s">
        <v>9</v>
      </c>
      <c r="B10" s="17">
        <v>9</v>
      </c>
      <c r="C10" s="2" t="str">
        <f>UPPER(Table22[[#This Row],[SITE]])</f>
        <v>PRIVATE VILLA 218 AL MUTEENA, DUBAI</v>
      </c>
      <c r="D10" s="14" t="s">
        <v>10</v>
      </c>
    </row>
    <row r="11" spans="1:9" ht="32.25" customHeight="1" x14ac:dyDescent="0.3">
      <c r="A11" s="1" t="s">
        <v>27</v>
      </c>
      <c r="B11" s="17">
        <v>10</v>
      </c>
      <c r="C11" s="9" t="str">
        <f>UPPER(Table22[[#This Row],[SITE]])</f>
        <v>CRAFTY FOX, JUMEIRAH GOLF ESTATE &amp;YAS LINKS, ABU DHABI</v>
      </c>
      <c r="D11" s="13" t="s">
        <v>11</v>
      </c>
    </row>
    <row r="12" spans="1:9" ht="27.65" customHeight="1" x14ac:dyDescent="0.3">
      <c r="A12" s="1" t="s">
        <v>12</v>
      </c>
      <c r="B12" s="17">
        <v>11</v>
      </c>
      <c r="C12" s="9" t="str">
        <f>UPPER(Table22[[#This Row],[SITE]])</f>
        <v>BOTANICA, JUMEIRAH GOLF ESTATE</v>
      </c>
      <c r="D12" s="14" t="s">
        <v>11</v>
      </c>
    </row>
    <row r="13" spans="1:9" ht="27.65" customHeight="1" x14ac:dyDescent="0.3">
      <c r="A13" s="1" t="s">
        <v>13</v>
      </c>
      <c r="B13" s="17">
        <v>12</v>
      </c>
      <c r="C13" s="9" t="str">
        <f>UPPER(Table22[[#This Row],[SITE]])</f>
        <v>VILLA L29, EMIRATES HILLS</v>
      </c>
      <c r="D13" s="14" t="s">
        <v>11</v>
      </c>
      <c r="E13" s="3"/>
      <c r="F13" s="3"/>
      <c r="G13" s="3"/>
    </row>
    <row r="14" spans="1:9" ht="27.65" customHeight="1" x14ac:dyDescent="0.3">
      <c r="A14" s="1" t="s">
        <v>14</v>
      </c>
      <c r="B14" s="17">
        <v>13</v>
      </c>
      <c r="C14" s="2" t="str">
        <f>UPPER(Table22[[#This Row],[SITE]])</f>
        <v>BUSSOLA, JUMEIRAH GOLF ESTATE</v>
      </c>
      <c r="D14" s="15" t="s">
        <v>11</v>
      </c>
    </row>
    <row r="15" spans="1:9" ht="27.65" customHeight="1" x14ac:dyDescent="0.3">
      <c r="A15" s="1" t="s">
        <v>15</v>
      </c>
      <c r="B15" s="17">
        <v>14</v>
      </c>
      <c r="C15" s="9" t="str">
        <f>UPPER(Table22[[#This Row],[SITE]])</f>
        <v>79 VILLA, DAMAC HILLS</v>
      </c>
      <c r="D15" s="13" t="s">
        <v>16</v>
      </c>
      <c r="E15" s="3"/>
    </row>
    <row r="16" spans="1:9" ht="27.65" customHeight="1" x14ac:dyDescent="0.3">
      <c r="A16" s="1" t="s">
        <v>17</v>
      </c>
      <c r="B16" s="17">
        <v>15</v>
      </c>
      <c r="C16" s="9" t="str">
        <f>UPPER(Table22[[#This Row],[SITE]])</f>
        <v xml:space="preserve">SPARKLE TOWER, MARINA, JUMEIRAH </v>
      </c>
      <c r="D16" s="15" t="s">
        <v>18</v>
      </c>
      <c r="E16" s="3"/>
      <c r="F16" s="3"/>
    </row>
    <row r="17" spans="1:5" ht="27.65" customHeight="1" x14ac:dyDescent="0.3">
      <c r="A17" s="1" t="s">
        <v>19</v>
      </c>
      <c r="B17" s="17">
        <v>16</v>
      </c>
      <c r="C17" s="9" t="str">
        <f>UPPER(Table22[[#This Row],[SITE]])</f>
        <v>MUTEENAVILLA, DUBAI</v>
      </c>
      <c r="D17" s="14" t="s">
        <v>20</v>
      </c>
    </row>
    <row r="18" spans="1:5" ht="27.65" customHeight="1" x14ac:dyDescent="0.3">
      <c r="A18" s="1" t="s">
        <v>21</v>
      </c>
      <c r="B18" s="17">
        <v>17</v>
      </c>
      <c r="C18" s="9" t="str">
        <f>UPPER(Table22[[#This Row],[SITE]])</f>
        <v>GRAND BELLE VUE, BARSHA HEIGHTS</v>
      </c>
      <c r="D18" s="13" t="s">
        <v>11</v>
      </c>
      <c r="E18" s="10"/>
    </row>
    <row r="19" spans="1:5" ht="27.65" customHeight="1" x14ac:dyDescent="0.3">
      <c r="A19" s="1" t="s">
        <v>22</v>
      </c>
      <c r="B19" s="17">
        <v>18</v>
      </c>
      <c r="C19" s="9" t="str">
        <f>UPPER(Table22[[#This Row],[SITE]])</f>
        <v>YOGURT BERRY, SPORT SOCEITY</v>
      </c>
      <c r="D19" s="13" t="s">
        <v>11</v>
      </c>
    </row>
    <row r="20" spans="1:5" ht="27.65" customHeight="1" x14ac:dyDescent="0.3">
      <c r="A20" s="1" t="s">
        <v>23</v>
      </c>
      <c r="B20" s="17">
        <v>19</v>
      </c>
      <c r="C20" s="9" t="str">
        <f>UPPER(Table22[[#This Row],[SITE]])</f>
        <v xml:space="preserve">KAI ENZO RESTAURANT, HYATT CENTRIC </v>
      </c>
      <c r="D20" s="13" t="s">
        <v>11</v>
      </c>
    </row>
    <row r="21" spans="1:5" ht="27.65" customHeight="1" x14ac:dyDescent="0.3">
      <c r="A21" s="1" t="s">
        <v>24</v>
      </c>
      <c r="B21" s="17">
        <v>20</v>
      </c>
      <c r="C21" s="9" t="str">
        <f>UPPER(Table22[[#This Row],[SITE]])</f>
        <v>FAIR WAY, AL GARHOUD</v>
      </c>
      <c r="D21" s="13" t="s">
        <v>11</v>
      </c>
    </row>
    <row r="22" spans="1:5" ht="27.65" customHeight="1" x14ac:dyDescent="0.3">
      <c r="A22" s="1" t="s">
        <v>35</v>
      </c>
      <c r="B22" s="17">
        <v>21</v>
      </c>
      <c r="C22" s="9" t="str">
        <f>UPPER(Table22[[#This Row],[SITE]])</f>
        <v>CRAFTY FOX,YAS LINKS, ABU DHABI</v>
      </c>
      <c r="D22" s="13" t="s">
        <v>11</v>
      </c>
    </row>
    <row r="23" spans="1:5" ht="27.65" customHeight="1" x14ac:dyDescent="0.3">
      <c r="A23" s="1" t="s">
        <v>36</v>
      </c>
      <c r="B23" s="17">
        <v>22</v>
      </c>
      <c r="C23" s="16" t="str">
        <f>UPPER(Table22[[#This Row],[SITE]])</f>
        <v xml:space="preserve">TIGER JOX, GRAND HYATT, DUBAI </v>
      </c>
      <c r="D23" s="13" t="s">
        <v>11</v>
      </c>
    </row>
    <row r="24" spans="1:5" ht="27.65" customHeight="1" x14ac:dyDescent="0.3">
      <c r="A24" s="1" t="s">
        <v>37</v>
      </c>
      <c r="B24" s="17">
        <v>23</v>
      </c>
      <c r="C24" s="16" t="str">
        <f>UPPER(Table22[[#This Row],[SITE]])</f>
        <v xml:space="preserve">DRIFT BEACH CLUB, ONE &amp; ONLY ROYAL MIRAGE </v>
      </c>
      <c r="D24" s="13" t="s">
        <v>11</v>
      </c>
    </row>
    <row r="25" spans="1:5" ht="34" customHeight="1" x14ac:dyDescent="0.3">
      <c r="A25" s="1" t="s">
        <v>45</v>
      </c>
      <c r="B25" s="17">
        <v>24</v>
      </c>
      <c r="C25" s="16" t="str">
        <f>UPPER(Table22[[#This Row],[SITE]])</f>
        <v>(SHURA ISLAND HOTEL 3 EAST DUNE CAMP) DUPOD,DUBAI INDUSTRIAL CITY</v>
      </c>
      <c r="D25" s="13" t="s">
        <v>44</v>
      </c>
    </row>
    <row r="26" spans="1:5" ht="27.65" customHeight="1" x14ac:dyDescent="0.3">
      <c r="A26" s="1" t="s">
        <v>38</v>
      </c>
      <c r="B26" s="17">
        <v>25</v>
      </c>
      <c r="C26" s="16" t="str">
        <f>UPPER(Table22[[#This Row],[SITE]])</f>
        <v xml:space="preserve">LAA BROCHIE RESTURANT, CITY LAND MALL </v>
      </c>
      <c r="D26" s="13" t="s">
        <v>11</v>
      </c>
    </row>
    <row r="27" spans="1:5" ht="27.65" customHeight="1" x14ac:dyDescent="0.3">
      <c r="A27" s="1" t="s">
        <v>39</v>
      </c>
      <c r="B27" s="17">
        <v>26</v>
      </c>
      <c r="C27" s="16" t="str">
        <f>UPPER(Table22[[#This Row],[SITE]])</f>
        <v xml:space="preserve">MAIN KITCHEN RENOVATION, WESTIN MINA SIYAHE </v>
      </c>
      <c r="D27" s="13" t="s">
        <v>11</v>
      </c>
    </row>
    <row r="28" spans="1:5" ht="27.65" customHeight="1" x14ac:dyDescent="0.3">
      <c r="A28" s="1" t="s">
        <v>40</v>
      </c>
      <c r="B28" s="17">
        <v>27</v>
      </c>
      <c r="C28" s="16" t="str">
        <f>UPPER(Table22[[#This Row],[SITE]])</f>
        <v>COLD KITCHEN RENOVATION, WESTIN MINA SIYAHE</v>
      </c>
      <c r="D28" s="13" t="s">
        <v>11</v>
      </c>
    </row>
    <row r="29" spans="1:5" ht="31.1" customHeight="1" x14ac:dyDescent="0.3">
      <c r="A29" s="1" t="s">
        <v>41</v>
      </c>
      <c r="B29" s="17">
        <v>28</v>
      </c>
      <c r="C29" s="16" t="str">
        <f>UPPER(Table22[[#This Row],[SITE]])</f>
        <v>MAIN KITCHEN RENOVATION, LEMERIDIAN MINA SIYAHE</v>
      </c>
      <c r="D29" s="13" t="s">
        <v>11</v>
      </c>
    </row>
    <row r="30" spans="1:5" ht="27.65" customHeight="1" x14ac:dyDescent="0.3">
      <c r="A30" s="1" t="s">
        <v>42</v>
      </c>
      <c r="B30" s="17">
        <v>29</v>
      </c>
      <c r="C30" s="16" t="str">
        <f>UPPER(Table22[[#This Row],[SITE]])</f>
        <v>KURASU RESTAURANT, DAR AL WASL MALL</v>
      </c>
      <c r="D30" s="13" t="s">
        <v>11</v>
      </c>
    </row>
    <row r="31" spans="1:5" ht="27.65" customHeight="1" x14ac:dyDescent="0.3">
      <c r="A31" s="1" t="s">
        <v>43</v>
      </c>
      <c r="B31" s="17">
        <v>30</v>
      </c>
      <c r="C31" s="16" t="str">
        <f>UPPER(Table22[[#This Row],[SITE]])</f>
        <v xml:space="preserve">FLAT 401, AL HASEER 7, PALM JUMEIRAH  </v>
      </c>
      <c r="D31" s="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MEP</vt:lpstr>
      <vt:lpstr>Sheet1</vt:lpstr>
      <vt:lpstr>Landscaping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Audai Marashdeh</dc:creator>
  <cp:lastModifiedBy>Sundara Lakshmi J</cp:lastModifiedBy>
  <cp:lastPrinted>2023-11-08T10:01:22Z</cp:lastPrinted>
  <dcterms:created xsi:type="dcterms:W3CDTF">2023-09-12T05:45:33Z</dcterms:created>
  <dcterms:modified xsi:type="dcterms:W3CDTF">2026-09-21T16:45:24Z</dcterms:modified>
</cp:coreProperties>
</file>